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Volumes/Kangs_Lexar/00.연장근무_신청서/26_3월/"/>
    </mc:Choice>
  </mc:AlternateContent>
  <xr:revisionPtr revIDLastSave="0" documentId="13_ncr:1_{54A9BC2A-49E9-3942-A990-49980A7A232A}" xr6:coauthVersionLast="47" xr6:coauthVersionMax="47" xr10:uidLastSave="{00000000-0000-0000-0000-000000000000}"/>
  <bookViews>
    <workbookView xWindow="8320" yWindow="-21620" windowWidth="21600" windowHeight="15720" xr2:uid="{00000000-000D-0000-FFFF-FFFF00000000}"/>
  </bookViews>
  <sheets>
    <sheet name="연장근무-제출용" sheetId="3" r:id="rId1"/>
    <sheet name="연장근무작성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5" l="1" a="1"/>
  <c r="A32" i="5" s="1"/>
  <c r="A5" i="5" a="1"/>
  <c r="A5" i="5" s="1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31" i="3"/>
  <c r="F17" i="5"/>
  <c r="H35" i="5" l="1"/>
  <c r="H34" i="5"/>
  <c r="G34" i="5"/>
  <c r="G35" i="5"/>
  <c r="F33" i="5"/>
  <c r="G33" i="5"/>
  <c r="H33" i="5"/>
  <c r="F34" i="5"/>
  <c r="F35" i="5"/>
  <c r="F36" i="5"/>
  <c r="G36" i="5"/>
  <c r="H36" i="5"/>
  <c r="F37" i="5"/>
  <c r="G37" i="5"/>
  <c r="H37" i="5"/>
  <c r="F38" i="5"/>
  <c r="G38" i="5"/>
  <c r="H38" i="5"/>
  <c r="F39" i="5"/>
  <c r="G39" i="5"/>
  <c r="H39" i="5"/>
  <c r="F40" i="5"/>
  <c r="G40" i="5"/>
  <c r="H40" i="5"/>
  <c r="F41" i="5"/>
  <c r="G41" i="5"/>
  <c r="H41" i="5"/>
  <c r="F42" i="5"/>
  <c r="G42" i="5"/>
  <c r="H42" i="5"/>
  <c r="F43" i="5"/>
  <c r="G43" i="5"/>
  <c r="H43" i="5"/>
  <c r="F44" i="5"/>
  <c r="G44" i="5"/>
  <c r="H44" i="5"/>
  <c r="F45" i="5"/>
  <c r="G45" i="5"/>
  <c r="H45" i="5"/>
  <c r="F46" i="5"/>
  <c r="G46" i="5"/>
  <c r="H46" i="5"/>
  <c r="H32" i="5"/>
  <c r="G32" i="5"/>
  <c r="F32" i="5"/>
  <c r="F6" i="5"/>
  <c r="G6" i="5"/>
  <c r="H6" i="5"/>
  <c r="F7" i="5"/>
  <c r="G7" i="5"/>
  <c r="H7" i="5"/>
  <c r="F8" i="5"/>
  <c r="G8" i="5"/>
  <c r="H8" i="5"/>
  <c r="F9" i="5"/>
  <c r="G9" i="5"/>
  <c r="H9" i="5"/>
  <c r="F10" i="5"/>
  <c r="G10" i="5"/>
  <c r="H10" i="5"/>
  <c r="F11" i="5"/>
  <c r="G11" i="5"/>
  <c r="H11" i="5"/>
  <c r="F12" i="5"/>
  <c r="G12" i="5"/>
  <c r="H12" i="5"/>
  <c r="F13" i="5"/>
  <c r="G13" i="5"/>
  <c r="H13" i="5"/>
  <c r="F14" i="5"/>
  <c r="G14" i="5"/>
  <c r="H14" i="5"/>
  <c r="F15" i="5"/>
  <c r="G15" i="5"/>
  <c r="H15" i="5"/>
  <c r="F16" i="5"/>
  <c r="G16" i="5"/>
  <c r="H16" i="5"/>
  <c r="G17" i="5"/>
  <c r="H17" i="5"/>
  <c r="F18" i="5"/>
  <c r="G18" i="5"/>
  <c r="H18" i="5"/>
  <c r="F19" i="5"/>
  <c r="G19" i="5"/>
  <c r="H19" i="5"/>
  <c r="H5" i="5"/>
  <c r="F5" i="5"/>
  <c r="G5" i="5"/>
  <c r="F8" i="3" l="1"/>
  <c r="F10" i="3"/>
  <c r="F11" i="3"/>
  <c r="F12" i="3"/>
  <c r="F13" i="3"/>
  <c r="F14" i="3"/>
  <c r="F16" i="3"/>
  <c r="F17" i="3"/>
  <c r="F18" i="3"/>
  <c r="F19" i="3"/>
  <c r="F20" i="3"/>
  <c r="F22" i="3"/>
  <c r="F9" i="3"/>
  <c r="F15" i="3"/>
  <c r="F21" i="3"/>
  <c r="A9" i="3" l="1"/>
  <c r="A10" i="3"/>
  <c r="A11" i="3"/>
  <c r="A12" i="3"/>
  <c r="A13" i="3"/>
  <c r="A14" i="3"/>
  <c r="A32" i="3"/>
  <c r="B32" i="3"/>
  <c r="D32" i="3"/>
  <c r="E32" i="3"/>
  <c r="A33" i="3"/>
  <c r="B33" i="3"/>
  <c r="D33" i="3"/>
  <c r="E33" i="3"/>
  <c r="A34" i="3"/>
  <c r="B34" i="3"/>
  <c r="D34" i="3"/>
  <c r="E34" i="3"/>
  <c r="A35" i="3"/>
  <c r="B35" i="3"/>
  <c r="D35" i="3"/>
  <c r="E35" i="3"/>
  <c r="A36" i="3"/>
  <c r="B36" i="3"/>
  <c r="D36" i="3"/>
  <c r="E36" i="3"/>
  <c r="A37" i="3"/>
  <c r="B37" i="3"/>
  <c r="D37" i="3"/>
  <c r="E37" i="3"/>
  <c r="A38" i="3"/>
  <c r="B38" i="3"/>
  <c r="D38" i="3"/>
  <c r="E38" i="3"/>
  <c r="A39" i="3"/>
  <c r="B39" i="3"/>
  <c r="D39" i="3"/>
  <c r="E39" i="3"/>
  <c r="A40" i="3"/>
  <c r="B40" i="3"/>
  <c r="D40" i="3"/>
  <c r="E40" i="3"/>
  <c r="A41" i="3"/>
  <c r="B41" i="3"/>
  <c r="D41" i="3"/>
  <c r="E41" i="3"/>
  <c r="A42" i="3"/>
  <c r="B42" i="3"/>
  <c r="D42" i="3"/>
  <c r="E42" i="3"/>
  <c r="A43" i="3"/>
  <c r="B43" i="3"/>
  <c r="D43" i="3"/>
  <c r="E43" i="3"/>
  <c r="A44" i="3"/>
  <c r="B44" i="3"/>
  <c r="D44" i="3"/>
  <c r="E44" i="3"/>
  <c r="A45" i="3"/>
  <c r="B45" i="3"/>
  <c r="D45" i="3"/>
  <c r="E45" i="3"/>
  <c r="B9" i="3"/>
  <c r="C9" i="3"/>
  <c r="D9" i="3"/>
  <c r="E9" i="3"/>
  <c r="B10" i="3"/>
  <c r="C10" i="3"/>
  <c r="D10" i="3"/>
  <c r="E10" i="3"/>
  <c r="B11" i="3"/>
  <c r="C11" i="3"/>
  <c r="D11" i="3"/>
  <c r="E11" i="3"/>
  <c r="B12" i="3"/>
  <c r="C12" i="3"/>
  <c r="D12" i="3"/>
  <c r="E12" i="3"/>
  <c r="B13" i="3"/>
  <c r="C13" i="3"/>
  <c r="D13" i="3"/>
  <c r="E13" i="3"/>
  <c r="B14" i="3"/>
  <c r="C14" i="3"/>
  <c r="D14" i="3"/>
  <c r="E14" i="3"/>
  <c r="A15" i="3"/>
  <c r="B15" i="3"/>
  <c r="C15" i="3"/>
  <c r="D15" i="3"/>
  <c r="E15" i="3"/>
  <c r="A16" i="3"/>
  <c r="B16" i="3"/>
  <c r="C16" i="3"/>
  <c r="D16" i="3"/>
  <c r="E16" i="3"/>
  <c r="A17" i="3"/>
  <c r="B17" i="3"/>
  <c r="C17" i="3"/>
  <c r="D17" i="3"/>
  <c r="E17" i="3"/>
  <c r="A18" i="3"/>
  <c r="B18" i="3"/>
  <c r="C18" i="3"/>
  <c r="D18" i="3"/>
  <c r="E18" i="3"/>
  <c r="A19" i="3"/>
  <c r="B19" i="3"/>
  <c r="C19" i="3"/>
  <c r="D19" i="3"/>
  <c r="E19" i="3"/>
  <c r="A20" i="3"/>
  <c r="B20" i="3"/>
  <c r="C20" i="3"/>
  <c r="D20" i="3"/>
  <c r="E20" i="3"/>
  <c r="A21" i="3"/>
  <c r="B21" i="3"/>
  <c r="C21" i="3"/>
  <c r="D21" i="3"/>
  <c r="E21" i="3"/>
  <c r="A22" i="3"/>
  <c r="B22" i="3"/>
  <c r="C22" i="3"/>
  <c r="D22" i="3"/>
  <c r="E22" i="3"/>
  <c r="A8" i="3"/>
  <c r="C8" i="3"/>
  <c r="B8" i="3"/>
  <c r="D8" i="3"/>
  <c r="F32" i="3" l="1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C29" i="5" l="1"/>
  <c r="C2" i="5"/>
  <c r="D31" i="3" l="1"/>
  <c r="E31" i="3"/>
  <c r="A31" i="3"/>
  <c r="E8" i="3"/>
  <c r="A27" i="3"/>
  <c r="A4" i="3"/>
  <c r="F31" i="3" l="1"/>
  <c r="B31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<sst xmlns="http://schemas.openxmlformats.org/spreadsheetml/2006/main" count="66" uniqueCount="38">
  <si>
    <t>연 장 근 로 신 청 서</t>
    <phoneticPr fontId="3" type="noConversion"/>
  </si>
  <si>
    <t>종료</t>
    <phoneticPr fontId="3" type="noConversion"/>
  </si>
  <si>
    <t>성명</t>
    <phoneticPr fontId="3" type="noConversion"/>
  </si>
  <si>
    <t>NO.</t>
    <phoneticPr fontId="3" type="noConversion"/>
  </si>
  <si>
    <t>담 당</t>
    <phoneticPr fontId="3" type="noConversion"/>
  </si>
  <si>
    <t>본부장</t>
    <phoneticPr fontId="3" type="noConversion"/>
  </si>
  <si>
    <t>연장근로(O/T) 신청 사유</t>
    <phoneticPr fontId="3" type="noConversion"/>
  </si>
  <si>
    <t>O/T 신청(당일)</t>
    <phoneticPr fontId="3" type="noConversion"/>
  </si>
  <si>
    <t>시작</t>
    <phoneticPr fontId="3" type="noConversion"/>
  </si>
  <si>
    <t>종료</t>
    <phoneticPr fontId="3" type="noConversion"/>
  </si>
  <si>
    <t>O/T</t>
    <phoneticPr fontId="3" type="noConversion"/>
  </si>
  <si>
    <t>본인 서명</t>
    <phoneticPr fontId="3" type="noConversion"/>
  </si>
  <si>
    <t xml:space="preserve">**4시간 이상 연장근무할 경우, 점심시간 1시간 제외
</t>
    <phoneticPr fontId="3" type="noConversion"/>
  </si>
  <si>
    <t>**점심시간 1로 표기</t>
  </si>
  <si>
    <t>총 근무시간</t>
    <phoneticPr fontId="3" type="noConversion"/>
  </si>
  <si>
    <t>O/T 신청(당일)</t>
    <phoneticPr fontId="3" type="noConversion"/>
  </si>
  <si>
    <t>NO.</t>
    <phoneticPr fontId="3" type="noConversion"/>
  </si>
  <si>
    <t>O/T</t>
    <phoneticPr fontId="3" type="noConversion"/>
  </si>
  <si>
    <t>점심시간</t>
    <phoneticPr fontId="3" type="noConversion"/>
  </si>
  <si>
    <t>시작</t>
    <phoneticPr fontId="3" type="noConversion"/>
  </si>
  <si>
    <t>**5.5일 근무자= 토요일 수업하는 코치</t>
    <phoneticPr fontId="3" type="noConversion"/>
  </si>
  <si>
    <t>토요일 수업 대신 행사 참여 한 경우, 연장 근무 수당 지급 하지 않음</t>
    <phoneticPr fontId="3" type="noConversion"/>
  </si>
  <si>
    <t>일요일 행사 참여한 경우, 연장 근무 수당 지급</t>
    <phoneticPr fontId="3" type="noConversion"/>
  </si>
  <si>
    <t>**연장근로신청서 제출전, 반드시 지급 대상자 여부 확인 후 제출 요망</t>
    <phoneticPr fontId="3" type="noConversion"/>
  </si>
  <si>
    <t>종 일 연 장 근 로 작 성</t>
    <phoneticPr fontId="3" type="noConversion"/>
  </si>
  <si>
    <t>NO.</t>
  </si>
  <si>
    <t>성명</t>
  </si>
  <si>
    <t>연장근로(O/T) 신청 사유</t>
  </si>
  <si>
    <t>O/T 신청(당일)</t>
  </si>
  <si>
    <t>시작</t>
  </si>
  <si>
    <t>종료</t>
  </si>
  <si>
    <t>총 근무시간</t>
  </si>
  <si>
    <t>점심시간</t>
  </si>
  <si>
    <t>O/T</t>
  </si>
  <si>
    <t>강 승훈</t>
    <phoneticPr fontId="3" type="noConversion"/>
  </si>
  <si>
    <t>일산 중산점_리뉴얼 오픈파티</t>
    <phoneticPr fontId="3" type="noConversion"/>
  </si>
  <si>
    <t>김 휘동</t>
    <phoneticPr fontId="3" type="noConversion"/>
  </si>
  <si>
    <t>유 윤상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</si>
</sst>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h:mm;@"/>
    <numFmt numFmtId="177" formatCode="[$-F800]dddd\,\ mmmm\ dd\,\ yyyy"/>
    <numFmt numFmtId="178" formatCode="#,###"/>
  </numFmts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20" fontId="0" fillId="0" borderId="3" xfId="0" applyNumberForma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2" xfId="2" applyNumberFormat="1" applyFont="1" applyBorder="1" applyAlignment="1" applyProtection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" xfId="1" applyNumberFormat="1" applyFont="1" applyFill="1" applyBorder="1" applyAlignment="1" applyProtection="1"/>
    <xf numFmtId="176" fontId="0" fillId="0" borderId="3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/>
    </xf>
    <xf numFmtId="178" fontId="0" fillId="0" borderId="3" xfId="0" applyNumberFormat="1" applyBorder="1" applyAlignment="1" applyProtection="1">
      <alignment horizontal="center" vertical="center" wrapText="1"/>
      <protection locked="0"/>
    </xf>
    <xf numFmtId="0" fontId="4" fillId="3" borderId="3" xfId="2" applyFont="1" applyBorder="1" applyAlignment="1" applyProtection="1">
      <alignment horizontal="center" vertical="center" wrapText="1"/>
      <protection locked="0"/>
    </xf>
    <xf numFmtId="0" fontId="4" fillId="3" borderId="3" xfId="2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20" fontId="0" fillId="0" borderId="4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4" borderId="0" xfId="0" applyFont="1" applyFill="1" applyAlignment="1" applyProtection="1">
      <alignment horizontal="center" vertical="center" wrapText="1"/>
      <protection hidden="1"/>
    </xf>
    <xf numFmtId="178" fontId="0" fillId="0" borderId="3" xfId="0" applyNumberFormat="1" applyBorder="1" applyAlignment="1" applyProtection="1">
      <alignment horizontal="center" vertical="center" wrapText="1"/>
      <protection hidden="1"/>
    </xf>
    <xf numFmtId="0" fontId="0" fillId="4" borderId="3" xfId="0" applyFill="1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 wrapText="1"/>
      <protection hidden="1"/>
    </xf>
    <xf numFmtId="0" fontId="0" fillId="4" borderId="4" xfId="0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locked="0"/>
    </xf>
    <xf numFmtId="0" fontId="4" fillId="3" borderId="3" xfId="2" applyFont="1" applyBorder="1" applyAlignment="1" applyProtection="1">
      <alignment horizontal="center" vertical="center" wrapText="1"/>
      <protection locked="0"/>
    </xf>
    <xf numFmtId="31" fontId="4" fillId="0" borderId="0" xfId="1" applyNumberFormat="1" applyFont="1" applyFill="1" applyBorder="1" applyAlignment="1" applyProtection="1">
      <alignment horizontal="center"/>
      <protection locked="0"/>
    </xf>
    <xf numFmtId="0" fontId="4" fillId="0" borderId="0" xfId="1" applyFont="1" applyFill="1" applyBorder="1" applyAlignment="1" applyProtection="1">
      <alignment horizontal="center"/>
      <protection locked="0"/>
    </xf>
    <xf numFmtId="31" fontId="4" fillId="0" borderId="1" xfId="1" applyNumberFormat="1" applyFont="1" applyFill="1" applyBorder="1" applyAlignment="1" applyProtection="1">
      <alignment horizontal="center"/>
      <protection locked="0"/>
    </xf>
    <xf numFmtId="0" fontId="2" fillId="0" borderId="0" xfId="0" applyFont="1" applyAlignment="1">
      <alignment horizontal="center" vertical="center"/>
    </xf>
    <xf numFmtId="0" fontId="4" fillId="3" borderId="2" xfId="2" applyNumberFormat="1" applyFont="1" applyBorder="1" applyAlignment="1" applyProtection="1">
      <alignment horizontal="center" vertical="center"/>
    </xf>
    <xf numFmtId="0" fontId="4" fillId="3" borderId="4" xfId="2" applyNumberFormat="1" applyFont="1" applyBorder="1" applyAlignment="1" applyProtection="1">
      <alignment horizontal="center" vertical="center"/>
    </xf>
    <xf numFmtId="0" fontId="4" fillId="3" borderId="3" xfId="2" applyNumberFormat="1" applyFont="1" applyBorder="1" applyAlignment="1" applyProtection="1">
      <alignment horizontal="center" vertical="center"/>
    </xf>
    <xf numFmtId="177" fontId="4" fillId="0" borderId="0" xfId="1" applyNumberFormat="1" applyFont="1" applyFill="1" applyBorder="1" applyAlignment="1" applyProtection="1">
      <alignment horizontal="left"/>
    </xf>
  </cellXfs>
  <cellStyles count="3">
    <cellStyle name="40% - 강조색3" xfId="1" builtinId="39"/>
    <cellStyle name="40% - 강조색6" xfId="2" builtinId="5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G47"/>
  <sheetViews>
    <sheetView showZeros="0" tabSelected="1" workbookViewId="0">
      <pane ySplit="7" topLeftCell="A8" activePane="bottomLeft" state="frozen"/>
      <selection pane="bottomLeft" activeCell="J12" sqref="J12"/>
    </sheetView>
  </sheetViews>
  <sheetFormatPr baseColWidth="10" defaultColWidth="8.83203125" defaultRowHeight="17"/>
  <cols>
    <col min="1" max="1" width="5.6640625" customWidth="1"/>
    <col min="2" max="2" width="15.6640625" customWidth="1"/>
    <col min="3" max="3" width="55.6640625" customWidth="1"/>
    <col min="4" max="5" width="12.83203125" bestFit="1" customWidth="1"/>
  </cols>
  <sheetData>
    <row r="1" spans="1:7" ht="40" customHeight="1">
      <c r="A1" s="29" t="s">
        <v>0</v>
      </c>
      <c r="B1" s="29"/>
      <c r="C1" s="29"/>
      <c r="D1" s="29"/>
      <c r="E1" s="29"/>
      <c r="F1" s="29"/>
      <c r="G1" s="29"/>
    </row>
    <row r="2" spans="1:7" ht="10" customHeight="1">
      <c r="A2" s="4"/>
      <c r="B2" s="4"/>
      <c r="C2" s="4"/>
      <c r="D2" s="4"/>
      <c r="E2" s="4"/>
      <c r="F2" s="4"/>
      <c r="G2" s="4"/>
    </row>
    <row r="3" spans="1:7" ht="20" customHeight="1">
      <c r="A3" s="5"/>
      <c r="B3" s="5"/>
      <c r="C3" s="5"/>
      <c r="D3" s="5"/>
      <c r="F3" s="6" t="s">
        <v>4</v>
      </c>
      <c r="G3" s="6" t="s">
        <v>5</v>
      </c>
    </row>
    <row r="4" spans="1:7" ht="40" customHeight="1">
      <c r="A4" s="33">
        <f>연장근무작성!$A$2</f>
        <v>46088</v>
      </c>
      <c r="B4" s="33"/>
      <c r="C4" s="33"/>
      <c r="D4" s="5"/>
      <c r="F4" s="7"/>
      <c r="G4" s="7"/>
    </row>
    <row r="5" spans="1:7" ht="10" customHeight="1">
      <c r="A5" s="8"/>
      <c r="B5" s="8"/>
      <c r="C5" s="5"/>
      <c r="D5" s="5"/>
      <c r="E5" s="5"/>
      <c r="F5" s="5"/>
      <c r="G5" s="5"/>
    </row>
    <row r="6" spans="1:7" ht="20" customHeight="1">
      <c r="A6" s="30" t="s">
        <v>3</v>
      </c>
      <c r="B6" s="30" t="s">
        <v>2</v>
      </c>
      <c r="C6" s="30" t="s">
        <v>6</v>
      </c>
      <c r="D6" s="32" t="s">
        <v>7</v>
      </c>
      <c r="E6" s="32"/>
      <c r="F6" s="32"/>
      <c r="G6" s="32"/>
    </row>
    <row r="7" spans="1:7" ht="20" customHeight="1">
      <c r="A7" s="31"/>
      <c r="B7" s="31"/>
      <c r="C7" s="31"/>
      <c r="D7" s="6" t="s">
        <v>8</v>
      </c>
      <c r="E7" s="6" t="s">
        <v>1</v>
      </c>
      <c r="F7" s="6" t="s">
        <v>10</v>
      </c>
      <c r="G7" s="6" t="s">
        <v>11</v>
      </c>
    </row>
    <row r="8" spans="1:7" ht="20" customHeight="1">
      <c r="A8" s="7">
        <f>연장근무작성!A5</f>
        <v>1</v>
      </c>
      <c r="B8" s="7" t="str">
        <f>연장근무작성!B5</f>
        <v>강 승훈</v>
      </c>
      <c r="C8" s="7" t="str">
        <f>연장근무작성!C5</f>
        <v>일산 중산점_리뉴얼 오픈파티</v>
      </c>
      <c r="D8" s="9">
        <f>연장근무작성!D5</f>
        <v>0.45833333333333331</v>
      </c>
      <c r="E8" s="9">
        <f>연장근무작성!E5</f>
        <v>0.75</v>
      </c>
      <c r="F8" s="7">
        <f>연장근무작성!H5</f>
        <v>6</v>
      </c>
      <c r="G8" s="7"/>
    </row>
    <row r="9" spans="1:7" ht="20" customHeight="1">
      <c r="A9" s="7">
        <f>연장근무작성!A6</f>
        <v>2</v>
      </c>
      <c r="B9" s="7" t="str">
        <f>연장근무작성!B6</f>
        <v>김 휘동</v>
      </c>
      <c r="C9" s="7" t="str">
        <f>연장근무작성!C6</f>
        <v>일산 중산점_리뉴얼 오픈파티</v>
      </c>
      <c r="D9" s="9">
        <f>연장근무작성!D6</f>
        <v>0.45833333333333331</v>
      </c>
      <c r="E9" s="9">
        <f>연장근무작성!E6</f>
        <v>0.75</v>
      </c>
      <c r="F9" s="7">
        <f>연장근무작성!H6</f>
        <v>6</v>
      </c>
      <c r="G9" s="7"/>
    </row>
    <row r="10" spans="1:7" ht="20" customHeight="1">
      <c r="A10" s="7">
        <f>연장근무작성!A7</f>
        <v>3</v>
      </c>
      <c r="B10" s="7" t="str">
        <f>연장근무작성!B7</f>
        <v>유 윤상</v>
      </c>
      <c r="C10" s="7" t="str">
        <f>연장근무작성!C7</f>
        <v>일산 중산점_리뉴얼 오픈파티</v>
      </c>
      <c r="D10" s="9">
        <f>연장근무작성!D7</f>
        <v>0.45833333333333331</v>
      </c>
      <c r="E10" s="9">
        <f>연장근무작성!E7</f>
        <v>0.75</v>
      </c>
      <c r="F10" s="7">
        <f>연장근무작성!H7</f>
        <v>6</v>
      </c>
      <c r="G10" s="7"/>
    </row>
    <row r="11" spans="1:7" ht="20" customHeight="1">
      <c r="A11" s="7">
        <f>연장근무작성!A8</f>
        <v>0</v>
      </c>
      <c r="B11" s="7">
        <f>연장근무작성!B8</f>
        <v>0</v>
      </c>
      <c r="C11" s="7">
        <f>연장근무작성!C8</f>
        <v>0</v>
      </c>
      <c r="D11" s="9">
        <f>연장근무작성!D8</f>
        <v>0</v>
      </c>
      <c r="E11" s="9">
        <f>연장근무작성!E8</f>
        <v>0</v>
      </c>
      <c r="F11" s="7">
        <f>연장근무작성!H8</f>
        <v>0</v>
      </c>
      <c r="G11" s="7"/>
    </row>
    <row r="12" spans="1:7" ht="20" customHeight="1">
      <c r="A12" s="7">
        <f>연장근무작성!A9</f>
        <v>0</v>
      </c>
      <c r="B12" s="7">
        <f>연장근무작성!B9</f>
        <v>0</v>
      </c>
      <c r="C12" s="7">
        <f>연장근무작성!C9</f>
        <v>0</v>
      </c>
      <c r="D12" s="9">
        <f>연장근무작성!D9</f>
        <v>0</v>
      </c>
      <c r="E12" s="9">
        <f>연장근무작성!E9</f>
        <v>0</v>
      </c>
      <c r="F12" s="7">
        <f>연장근무작성!H9</f>
        <v>0</v>
      </c>
      <c r="G12" s="7"/>
    </row>
    <row r="13" spans="1:7" ht="20" customHeight="1">
      <c r="A13" s="7">
        <f>연장근무작성!A10</f>
        <v>0</v>
      </c>
      <c r="B13" s="7">
        <f>연장근무작성!B10</f>
        <v>0</v>
      </c>
      <c r="C13" s="7">
        <f>연장근무작성!C10</f>
        <v>0</v>
      </c>
      <c r="D13" s="9">
        <f>연장근무작성!D10</f>
        <v>0</v>
      </c>
      <c r="E13" s="9">
        <f>연장근무작성!E10</f>
        <v>0</v>
      </c>
      <c r="F13" s="7">
        <f>연장근무작성!H10</f>
        <v>0</v>
      </c>
      <c r="G13" s="7"/>
    </row>
    <row r="14" spans="1:7" ht="20" customHeight="1">
      <c r="A14" s="7">
        <f>연장근무작성!A11</f>
        <v>0</v>
      </c>
      <c r="B14" s="7">
        <f>연장근무작성!B11</f>
        <v>0</v>
      </c>
      <c r="C14" s="7">
        <f>연장근무작성!C11</f>
        <v>0</v>
      </c>
      <c r="D14" s="9">
        <f>연장근무작성!D11</f>
        <v>0</v>
      </c>
      <c r="E14" s="9">
        <f>연장근무작성!E11</f>
        <v>0</v>
      </c>
      <c r="F14" s="7">
        <f>연장근무작성!H11</f>
        <v>0</v>
      </c>
      <c r="G14" s="7"/>
    </row>
    <row r="15" spans="1:7" ht="20" customHeight="1">
      <c r="A15" s="7">
        <f>연장근무작성!A12</f>
        <v>0</v>
      </c>
      <c r="B15" s="7">
        <f>연장근무작성!B12</f>
        <v>0</v>
      </c>
      <c r="C15" s="7">
        <f>연장근무작성!C12</f>
        <v>0</v>
      </c>
      <c r="D15" s="9">
        <f>연장근무작성!D12</f>
        <v>0</v>
      </c>
      <c r="E15" s="9">
        <f>연장근무작성!E12</f>
        <v>0</v>
      </c>
      <c r="F15" s="7">
        <f>연장근무작성!H12</f>
        <v>0</v>
      </c>
      <c r="G15" s="7"/>
    </row>
    <row r="16" spans="1:7" ht="20" customHeight="1">
      <c r="A16" s="7">
        <f>연장근무작성!A13</f>
        <v>0</v>
      </c>
      <c r="B16" s="7">
        <f>연장근무작성!B13</f>
        <v>0</v>
      </c>
      <c r="C16" s="7">
        <f>연장근무작성!C13</f>
        <v>0</v>
      </c>
      <c r="D16" s="9">
        <f>연장근무작성!D13</f>
        <v>0</v>
      </c>
      <c r="E16" s="9">
        <f>연장근무작성!E13</f>
        <v>0</v>
      </c>
      <c r="F16" s="7" t="str">
        <f>IF(연장근무작성!H13=0,"",연장근무작성!H13)</f>
        <v/>
      </c>
      <c r="G16" s="7"/>
    </row>
    <row r="17" spans="1:7" ht="20" customHeight="1">
      <c r="A17" s="7">
        <f>연장근무작성!A14</f>
        <v>0</v>
      </c>
      <c r="B17" s="7">
        <f>연장근무작성!B14</f>
        <v>0</v>
      </c>
      <c r="C17" s="7">
        <f>연장근무작성!C14</f>
        <v>0</v>
      </c>
      <c r="D17" s="9">
        <f>연장근무작성!D14</f>
        <v>0</v>
      </c>
      <c r="E17" s="9">
        <f>연장근무작성!E14</f>
        <v>0</v>
      </c>
      <c r="F17" s="7">
        <f>연장근무작성!H14</f>
        <v>0</v>
      </c>
      <c r="G17" s="7"/>
    </row>
    <row r="18" spans="1:7" ht="20" customHeight="1">
      <c r="A18" s="7">
        <f>연장근무작성!A15</f>
        <v>0</v>
      </c>
      <c r="B18" s="7">
        <f>연장근무작성!B15</f>
        <v>0</v>
      </c>
      <c r="C18" s="7">
        <f>연장근무작성!C15</f>
        <v>0</v>
      </c>
      <c r="D18" s="9">
        <f>연장근무작성!D15</f>
        <v>0</v>
      </c>
      <c r="E18" s="9">
        <f>연장근무작성!E15</f>
        <v>0</v>
      </c>
      <c r="F18" s="7">
        <f>연장근무작성!H15</f>
        <v>0</v>
      </c>
      <c r="G18" s="7"/>
    </row>
    <row r="19" spans="1:7" ht="20" customHeight="1">
      <c r="A19" s="7">
        <f>연장근무작성!A16</f>
        <v>0</v>
      </c>
      <c r="B19" s="7">
        <f>연장근무작성!B16</f>
        <v>0</v>
      </c>
      <c r="C19" s="7">
        <f>연장근무작성!C16</f>
        <v>0</v>
      </c>
      <c r="D19" s="9">
        <f>연장근무작성!D16</f>
        <v>0</v>
      </c>
      <c r="E19" s="9">
        <f>연장근무작성!E16</f>
        <v>0</v>
      </c>
      <c r="F19" s="7">
        <f>연장근무작성!H16</f>
        <v>0</v>
      </c>
      <c r="G19" s="7"/>
    </row>
    <row r="20" spans="1:7" ht="20" customHeight="1">
      <c r="A20" s="7">
        <f>연장근무작성!A17</f>
        <v>0</v>
      </c>
      <c r="B20" s="7">
        <f>연장근무작성!B17</f>
        <v>0</v>
      </c>
      <c r="C20" s="7">
        <f>연장근무작성!C17</f>
        <v>0</v>
      </c>
      <c r="D20" s="9">
        <f>연장근무작성!D17</f>
        <v>0</v>
      </c>
      <c r="E20" s="9">
        <f>연장근무작성!E17</f>
        <v>0</v>
      </c>
      <c r="F20" s="7">
        <f>연장근무작성!H17</f>
        <v>0</v>
      </c>
      <c r="G20" s="7"/>
    </row>
    <row r="21" spans="1:7" ht="20" customHeight="1">
      <c r="A21" s="7">
        <f>연장근무작성!A18</f>
        <v>0</v>
      </c>
      <c r="B21" s="7">
        <f>연장근무작성!B18</f>
        <v>0</v>
      </c>
      <c r="C21" s="7">
        <f>연장근무작성!C18</f>
        <v>0</v>
      </c>
      <c r="D21" s="9">
        <f>연장근무작성!D18</f>
        <v>0</v>
      </c>
      <c r="E21" s="9">
        <f>연장근무작성!E18</f>
        <v>0</v>
      </c>
      <c r="F21" s="7">
        <f>연장근무작성!H18</f>
        <v>0</v>
      </c>
      <c r="G21" s="7"/>
    </row>
    <row r="22" spans="1:7" ht="20" customHeight="1">
      <c r="A22" s="7">
        <f>연장근무작성!A19</f>
        <v>0</v>
      </c>
      <c r="B22" s="7">
        <f>연장근무작성!B19</f>
        <v>0</v>
      </c>
      <c r="C22" s="7">
        <f>연장근무작성!C19</f>
        <v>0</v>
      </c>
      <c r="D22" s="9">
        <f>연장근무작성!D19</f>
        <v>0</v>
      </c>
      <c r="E22" s="9">
        <f>연장근무작성!E19</f>
        <v>0</v>
      </c>
      <c r="F22" s="7">
        <f>연장근무작성!H19</f>
        <v>0</v>
      </c>
      <c r="G22" s="7"/>
    </row>
    <row r="23" spans="1:7" ht="20" customHeight="1">
      <c r="A23" s="5"/>
      <c r="B23" s="5"/>
      <c r="C23" s="5"/>
      <c r="D23" s="5"/>
      <c r="E23" s="5"/>
      <c r="F23" s="5"/>
      <c r="G23" s="5"/>
    </row>
    <row r="24" spans="1:7" ht="37">
      <c r="A24" s="29" t="s">
        <v>0</v>
      </c>
      <c r="B24" s="29"/>
      <c r="C24" s="29"/>
      <c r="D24" s="29"/>
      <c r="E24" s="29"/>
      <c r="F24" s="29"/>
      <c r="G24" s="29"/>
    </row>
    <row r="25" spans="1:7" ht="10" customHeight="1">
      <c r="A25" s="4"/>
      <c r="B25" s="4"/>
      <c r="C25" s="4"/>
      <c r="D25" s="4"/>
      <c r="E25" s="4"/>
      <c r="F25" s="4"/>
      <c r="G25" s="4"/>
    </row>
    <row r="26" spans="1:7" ht="20" customHeight="1">
      <c r="A26" s="5"/>
      <c r="B26" s="5"/>
      <c r="C26" s="5"/>
      <c r="D26" s="5"/>
      <c r="F26" s="6" t="s">
        <v>4</v>
      </c>
      <c r="G26" s="6" t="s">
        <v>5</v>
      </c>
    </row>
    <row r="27" spans="1:7" ht="40" customHeight="1">
      <c r="A27" s="33">
        <f>연장근무작성!$A$29</f>
        <v>45991</v>
      </c>
      <c r="B27" s="33"/>
      <c r="C27" s="33"/>
      <c r="D27" s="5"/>
      <c r="F27" s="7"/>
      <c r="G27" s="7"/>
    </row>
    <row r="28" spans="1:7" ht="10" customHeight="1">
      <c r="A28" s="8"/>
      <c r="B28" s="8"/>
      <c r="C28" s="5"/>
      <c r="D28" s="5"/>
      <c r="E28" s="5"/>
      <c r="F28" s="5"/>
      <c r="G28" s="5"/>
    </row>
    <row r="29" spans="1:7" ht="20" customHeight="1">
      <c r="A29" s="30" t="s">
        <v>3</v>
      </c>
      <c r="B29" s="30" t="s">
        <v>2</v>
      </c>
      <c r="C29" s="30" t="s">
        <v>6</v>
      </c>
      <c r="D29" s="32" t="s">
        <v>7</v>
      </c>
      <c r="E29" s="32"/>
      <c r="F29" s="32"/>
      <c r="G29" s="32"/>
    </row>
    <row r="30" spans="1:7" ht="20" customHeight="1">
      <c r="A30" s="31"/>
      <c r="B30" s="31"/>
      <c r="C30" s="31"/>
      <c r="D30" s="6" t="s">
        <v>8</v>
      </c>
      <c r="E30" s="6" t="s">
        <v>9</v>
      </c>
      <c r="F30" s="6" t="s">
        <v>10</v>
      </c>
      <c r="G30" s="6" t="s">
        <v>11</v>
      </c>
    </row>
    <row r="31" spans="1:7" ht="20" customHeight="1">
      <c r="A31" s="7">
        <f>연장근무작성!A32</f>
        <v>1</v>
      </c>
      <c r="B31" s="7" t="str">
        <f>연장근무작성!B32</f>
        <v>강 승훈</v>
      </c>
      <c r="C31" s="7" t="str">
        <f>연장근무작성!C32</f>
        <v>일산 중산점_리뉴얼 오픈파티</v>
      </c>
      <c r="D31" s="10">
        <f>연장근무작성!D32</f>
        <v>0.5</v>
      </c>
      <c r="E31" s="10">
        <f>연장근무작성!E32</f>
        <v>0.75</v>
      </c>
      <c r="F31" s="7">
        <f>연장근무작성!H32</f>
        <v>5</v>
      </c>
      <c r="G31" s="7"/>
    </row>
    <row r="32" spans="1:7" ht="20" customHeight="1">
      <c r="A32" s="7">
        <f>연장근무작성!A33</f>
        <v>2</v>
      </c>
      <c r="B32" s="7" t="str">
        <f>연장근무작성!B33</f>
        <v>김 휘동</v>
      </c>
      <c r="C32" s="7" t="str">
        <f>연장근무작성!C33</f>
        <v>일산 중산점_리뉴얼 오픈파티</v>
      </c>
      <c r="D32" s="10">
        <f>연장근무작성!D33</f>
        <v>0</v>
      </c>
      <c r="E32" s="10">
        <f>연장근무작성!E33</f>
        <v>0</v>
      </c>
      <c r="F32" s="7">
        <f>연장근무작성!H33</f>
        <v>0</v>
      </c>
      <c r="G32" s="7"/>
    </row>
    <row r="33" spans="1:7" ht="20" customHeight="1">
      <c r="A33" s="7">
        <f>연장근무작성!A34</f>
        <v>3</v>
      </c>
      <c r="B33" s="7" t="str">
        <f>연장근무작성!B34</f>
        <v>유 윤상</v>
      </c>
      <c r="C33" s="7" t="str">
        <f>연장근무작성!C34</f>
        <v>일산 중산점_리뉴얼 오픈파티</v>
      </c>
      <c r="D33" s="10">
        <f>연장근무작성!D34</f>
        <v>0</v>
      </c>
      <c r="E33" s="10">
        <f>연장근무작성!E34</f>
        <v>0</v>
      </c>
      <c r="F33" s="7">
        <f>연장근무작성!H34</f>
        <v>0</v>
      </c>
      <c r="G33" s="7"/>
    </row>
    <row r="34" spans="1:7" ht="20" customHeight="1">
      <c r="A34" s="7">
        <f>연장근무작성!A35</f>
        <v>0</v>
      </c>
      <c r="B34" s="7">
        <f>연장근무작성!B35</f>
        <v>0</v>
      </c>
      <c r="C34" s="7">
        <f>연장근무작성!C35</f>
        <v>0</v>
      </c>
      <c r="D34" s="10">
        <f>연장근무작성!D35</f>
        <v>0</v>
      </c>
      <c r="E34" s="10">
        <f>연장근무작성!E35</f>
        <v>0</v>
      </c>
      <c r="F34" s="7">
        <f>연장근무작성!H35</f>
        <v>0</v>
      </c>
      <c r="G34" s="7"/>
    </row>
    <row r="35" spans="1:7" ht="20" customHeight="1">
      <c r="A35" s="7">
        <f>연장근무작성!A36</f>
        <v>0</v>
      </c>
      <c r="B35" s="7">
        <f>연장근무작성!B36</f>
        <v>0</v>
      </c>
      <c r="C35" s="7">
        <f>연장근무작성!C36</f>
        <v>0</v>
      </c>
      <c r="D35" s="10">
        <f>연장근무작성!D36</f>
        <v>0</v>
      </c>
      <c r="E35" s="10">
        <f>연장근무작성!E36</f>
        <v>0</v>
      </c>
      <c r="F35" s="7">
        <f>연장근무작성!H36</f>
        <v>0</v>
      </c>
      <c r="G35" s="7"/>
    </row>
    <row r="36" spans="1:7" ht="20" customHeight="1">
      <c r="A36" s="7">
        <f>연장근무작성!A37</f>
        <v>0</v>
      </c>
      <c r="B36" s="7">
        <f>연장근무작성!B37</f>
        <v>0</v>
      </c>
      <c r="C36" s="7">
        <f>연장근무작성!C37</f>
        <v>0</v>
      </c>
      <c r="D36" s="10">
        <f>연장근무작성!D37</f>
        <v>0</v>
      </c>
      <c r="E36" s="10">
        <f>연장근무작성!E37</f>
        <v>0</v>
      </c>
      <c r="F36" s="7">
        <f>연장근무작성!H37</f>
        <v>0</v>
      </c>
      <c r="G36" s="7"/>
    </row>
    <row r="37" spans="1:7" ht="20" customHeight="1">
      <c r="A37" s="7">
        <f>연장근무작성!A38</f>
        <v>0</v>
      </c>
      <c r="B37" s="7">
        <f>연장근무작성!B38</f>
        <v>0</v>
      </c>
      <c r="C37" s="7">
        <f>연장근무작성!C38</f>
        <v>0</v>
      </c>
      <c r="D37" s="10">
        <f>연장근무작성!D38</f>
        <v>0</v>
      </c>
      <c r="E37" s="10">
        <f>연장근무작성!E38</f>
        <v>0</v>
      </c>
      <c r="F37" s="7">
        <f>연장근무작성!H38</f>
        <v>0</v>
      </c>
      <c r="G37" s="7"/>
    </row>
    <row r="38" spans="1:7" ht="20" customHeight="1">
      <c r="A38" s="7">
        <f>연장근무작성!A39</f>
        <v>0</v>
      </c>
      <c r="B38" s="7">
        <f>연장근무작성!B39</f>
        <v>0</v>
      </c>
      <c r="C38" s="7">
        <f>연장근무작성!C39</f>
        <v>0</v>
      </c>
      <c r="D38" s="10">
        <f>연장근무작성!D39</f>
        <v>0</v>
      </c>
      <c r="E38" s="10">
        <f>연장근무작성!E39</f>
        <v>0</v>
      </c>
      <c r="F38" s="7">
        <f>연장근무작성!H39</f>
        <v>0</v>
      </c>
      <c r="G38" s="7"/>
    </row>
    <row r="39" spans="1:7" ht="20" customHeight="1">
      <c r="A39" s="7">
        <f>연장근무작성!A40</f>
        <v>0</v>
      </c>
      <c r="B39" s="7">
        <f>연장근무작성!B40</f>
        <v>0</v>
      </c>
      <c r="C39" s="7">
        <f>연장근무작성!C40</f>
        <v>0</v>
      </c>
      <c r="D39" s="10">
        <f>연장근무작성!D40</f>
        <v>0</v>
      </c>
      <c r="E39" s="10">
        <f>연장근무작성!E40</f>
        <v>0</v>
      </c>
      <c r="F39" s="7">
        <f>연장근무작성!H40</f>
        <v>0</v>
      </c>
      <c r="G39" s="7"/>
    </row>
    <row r="40" spans="1:7" ht="20" customHeight="1">
      <c r="A40" s="7">
        <f>연장근무작성!A41</f>
        <v>0</v>
      </c>
      <c r="B40" s="7">
        <f>연장근무작성!B41</f>
        <v>0</v>
      </c>
      <c r="C40" s="7">
        <f>연장근무작성!C41</f>
        <v>0</v>
      </c>
      <c r="D40" s="10">
        <f>연장근무작성!D41</f>
        <v>0</v>
      </c>
      <c r="E40" s="10">
        <f>연장근무작성!E41</f>
        <v>0</v>
      </c>
      <c r="F40" s="7">
        <f>연장근무작성!H41</f>
        <v>0</v>
      </c>
      <c r="G40" s="7"/>
    </row>
    <row r="41" spans="1:7" ht="20" customHeight="1">
      <c r="A41" s="7">
        <f>연장근무작성!A42</f>
        <v>0</v>
      </c>
      <c r="B41" s="7">
        <f>연장근무작성!B42</f>
        <v>0</v>
      </c>
      <c r="C41" s="7">
        <f>연장근무작성!C42</f>
        <v>0</v>
      </c>
      <c r="D41" s="10">
        <f>연장근무작성!D42</f>
        <v>0</v>
      </c>
      <c r="E41" s="10">
        <f>연장근무작성!E42</f>
        <v>0</v>
      </c>
      <c r="F41" s="7">
        <f>연장근무작성!H42</f>
        <v>0</v>
      </c>
      <c r="G41" s="7"/>
    </row>
    <row r="42" spans="1:7" ht="20" customHeight="1">
      <c r="A42" s="7">
        <f>연장근무작성!A43</f>
        <v>0</v>
      </c>
      <c r="B42" s="7">
        <f>연장근무작성!B43</f>
        <v>0</v>
      </c>
      <c r="C42" s="7">
        <f>연장근무작성!C43</f>
        <v>0</v>
      </c>
      <c r="D42" s="10">
        <f>연장근무작성!D43</f>
        <v>0</v>
      </c>
      <c r="E42" s="10">
        <f>연장근무작성!E43</f>
        <v>0</v>
      </c>
      <c r="F42" s="7">
        <f>연장근무작성!H43</f>
        <v>0</v>
      </c>
      <c r="G42" s="7"/>
    </row>
    <row r="43" spans="1:7" ht="20" customHeight="1">
      <c r="A43" s="7">
        <f>연장근무작성!A44</f>
        <v>0</v>
      </c>
      <c r="B43" s="7">
        <f>연장근무작성!B44</f>
        <v>0</v>
      </c>
      <c r="C43" s="7">
        <f>연장근무작성!C44</f>
        <v>0</v>
      </c>
      <c r="D43" s="10">
        <f>연장근무작성!D44</f>
        <v>0</v>
      </c>
      <c r="E43" s="10">
        <f>연장근무작성!E44</f>
        <v>0</v>
      </c>
      <c r="F43" s="7">
        <f>연장근무작성!H44</f>
        <v>0</v>
      </c>
      <c r="G43" s="7"/>
    </row>
    <row r="44" spans="1:7" ht="20" customHeight="1">
      <c r="A44" s="7">
        <f>연장근무작성!A45</f>
        <v>0</v>
      </c>
      <c r="B44" s="7">
        <f>연장근무작성!B45</f>
        <v>0</v>
      </c>
      <c r="C44" s="7">
        <f>연장근무작성!C45</f>
        <v>0</v>
      </c>
      <c r="D44" s="10">
        <f>연장근무작성!D45</f>
        <v>0</v>
      </c>
      <c r="E44" s="10">
        <f>연장근무작성!E45</f>
        <v>0</v>
      </c>
      <c r="F44" s="7">
        <f>연장근무작성!H45</f>
        <v>0</v>
      </c>
      <c r="G44" s="7"/>
    </row>
    <row r="45" spans="1:7" ht="20" customHeight="1">
      <c r="A45" s="7">
        <f>연장근무작성!A46</f>
        <v>0</v>
      </c>
      <c r="B45" s="7">
        <f>연장근무작성!B46</f>
        <v>0</v>
      </c>
      <c r="C45" s="7">
        <f>연장근무작성!C46</f>
        <v>0</v>
      </c>
      <c r="D45" s="10">
        <f>연장근무작성!D46</f>
        <v>0</v>
      </c>
      <c r="E45" s="10">
        <f>연장근무작성!E46</f>
        <v>0</v>
      </c>
      <c r="F45" s="7">
        <f>연장근무작성!H46</f>
        <v>0</v>
      </c>
      <c r="G45" s="7"/>
    </row>
    <row r="46" spans="1:7" ht="20" customHeight="1"/>
    <row r="47" spans="1:7" ht="20" customHeight="1"/>
  </sheetData>
  <sheetProtection algorithmName="SHA-512" hashValue="3zoAQ4Nxcui8T1u0jS0ElNhd/L3LK0A93jhWamxXUqAK4cCpswzOEnc9ZEqakCwdM044HzM3H0HNwUGjtSyZeg==" saltValue="WyKCrB3hX7Y8Kjdqp3H5ww==" spinCount="100000" sheet="1" objects="1" scenarios="1"/>
  <mergeCells count="12">
    <mergeCell ref="A1:G1"/>
    <mergeCell ref="A6:A7"/>
    <mergeCell ref="B6:B7"/>
    <mergeCell ref="C6:C7"/>
    <mergeCell ref="D6:G6"/>
    <mergeCell ref="A4:C4"/>
    <mergeCell ref="A24:G24"/>
    <mergeCell ref="A29:A30"/>
    <mergeCell ref="B29:B30"/>
    <mergeCell ref="C29:C30"/>
    <mergeCell ref="D29:G29"/>
    <mergeCell ref="A27:C27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</sheetPr>
  <dimension ref="A1:H54"/>
  <sheetViews>
    <sheetView showZeros="0" zoomScaleNormal="100" workbookViewId="0">
      <pane ySplit="4" topLeftCell="A5" activePane="bottomLeft" state="frozen"/>
      <selection pane="bottomLeft" activeCell="L44" sqref="L44:L45"/>
    </sheetView>
  </sheetViews>
  <sheetFormatPr baseColWidth="10" defaultColWidth="9" defaultRowHeight="17"/>
  <cols>
    <col min="1" max="1" width="5.6640625" style="1" customWidth="1"/>
    <col min="2" max="2" width="20.6640625" style="1" customWidth="1"/>
    <col min="3" max="3" width="40.6640625" style="1" customWidth="1"/>
    <col min="4" max="5" width="10.6640625" style="1" customWidth="1"/>
    <col min="6" max="6" width="7.6640625" style="1" customWidth="1"/>
    <col min="7" max="7" width="10.33203125" style="1" customWidth="1"/>
    <col min="8" max="8" width="12.83203125" style="1" customWidth="1"/>
    <col min="9" max="16384" width="9" style="1"/>
  </cols>
  <sheetData>
    <row r="1" spans="1:8" ht="37">
      <c r="A1" s="24" t="s">
        <v>24</v>
      </c>
      <c r="B1" s="24"/>
      <c r="C1" s="24"/>
      <c r="D1" s="24"/>
      <c r="E1" s="24"/>
      <c r="F1" s="24"/>
      <c r="G1" s="24"/>
      <c r="H1" s="24"/>
    </row>
    <row r="2" spans="1:8" ht="18">
      <c r="A2" s="28">
        <v>46088</v>
      </c>
      <c r="B2" s="28"/>
      <c r="C2" s="19" t="str">
        <f>CHOOSE(WEEKDAY($A$2,1),"일요일","월요일","화요일","수요일","목요일","금요일","토요일")</f>
        <v>토요일</v>
      </c>
    </row>
    <row r="3" spans="1:8">
      <c r="A3" s="25" t="s">
        <v>25</v>
      </c>
      <c r="B3" s="25" t="s">
        <v>26</v>
      </c>
      <c r="C3" s="25" t="s">
        <v>27</v>
      </c>
      <c r="D3" s="25" t="s">
        <v>28</v>
      </c>
      <c r="E3" s="25"/>
      <c r="F3" s="25"/>
      <c r="G3" s="25"/>
      <c r="H3" s="25"/>
    </row>
    <row r="4" spans="1:8" ht="36">
      <c r="A4" s="25"/>
      <c r="B4" s="25"/>
      <c r="C4" s="25"/>
      <c r="D4" s="12" t="s">
        <v>29</v>
      </c>
      <c r="E4" s="12" t="s">
        <v>30</v>
      </c>
      <c r="F4" s="13" t="s">
        <v>31</v>
      </c>
      <c r="G4" s="13" t="s">
        <v>32</v>
      </c>
      <c r="H4" s="13" t="s">
        <v>33</v>
      </c>
    </row>
    <row r="5" spans="1:8" ht="18">
      <c r="A5" s="20" cm="1">
        <f t="array" ref="A5:A7">_xlfn.SEQUENCE(COUNTA(B5:B19))</f>
        <v>1</v>
      </c>
      <c r="B5" s="11" t="s">
        <v>34</v>
      </c>
      <c r="C5" s="11" t="s">
        <v>35</v>
      </c>
      <c r="D5" s="3">
        <v>0.45833333333333331</v>
      </c>
      <c r="E5" s="3">
        <v>0.75</v>
      </c>
      <c r="F5" s="21">
        <f>(E5-D5)*24</f>
        <v>7</v>
      </c>
      <c r="G5" s="21" t="b">
        <f t="shared" ref="G5" si="0">AND(D5&lt;=TIME(12,0,0),E5&gt;=TIME(13,0,0))</f>
        <v>1</v>
      </c>
      <c r="H5" s="21">
        <f>(E5-D5)*24-IF(AND(D5&lt;=TIME(12,0,0),E5&gt;=TIME(13,0,0)),1,0)</f>
        <v>6</v>
      </c>
    </row>
    <row r="6" spans="1:8" ht="18">
      <c r="A6" s="11">
        <v>2</v>
      </c>
      <c r="B6" s="11" t="s">
        <v>36</v>
      </c>
      <c r="C6" s="11" t="s">
        <v>35</v>
      </c>
      <c r="D6" s="3">
        <v>0.45833333333333331</v>
      </c>
      <c r="E6" s="3">
        <v>0.75</v>
      </c>
      <c r="F6" s="21">
        <f t="shared" ref="F6:F19" si="1">(E6-D6)*24</f>
        <v>7</v>
      </c>
      <c r="G6" s="21" t="b">
        <f t="shared" ref="G6:G19" si="2">AND(D6&lt;=TIME(12,0,0),E6&gt;=TIME(13,0,0))</f>
        <v>1</v>
      </c>
      <c r="H6" s="21">
        <f t="shared" ref="H6:H19" si="3">(E6-D6)*24-IF(AND(D6&lt;=TIME(12,0,0),E6&gt;=TIME(13,0,0)),1,0)</f>
        <v>6</v>
      </c>
    </row>
    <row r="7" spans="1:8" ht="18">
      <c r="A7" s="11">
        <v>3</v>
      </c>
      <c r="B7" s="11" t="s">
        <v>37</v>
      </c>
      <c r="C7" s="11" t="s">
        <v>35</v>
      </c>
      <c r="D7" s="3">
        <v>0.45833333333333331</v>
      </c>
      <c r="E7" s="3">
        <v>0.75</v>
      </c>
      <c r="F7" s="21">
        <f t="shared" si="1"/>
        <v>7</v>
      </c>
      <c r="G7" s="21" t="b">
        <f t="shared" si="2"/>
        <v>1</v>
      </c>
      <c r="H7" s="21">
        <f t="shared" si="3"/>
        <v>6</v>
      </c>
    </row>
    <row r="8" spans="1:8">
      <c r="A8" s="11"/>
      <c r="B8" s="11"/>
      <c r="C8" s="11"/>
      <c r="D8" s="3"/>
      <c r="E8" s="3"/>
      <c r="F8" s="21">
        <f t="shared" si="1"/>
        <v>0</v>
      </c>
      <c r="G8" s="21" t="b">
        <f t="shared" si="2"/>
        <v>0</v>
      </c>
      <c r="H8" s="21">
        <f t="shared" si="3"/>
        <v>0</v>
      </c>
    </row>
    <row r="9" spans="1:8">
      <c r="A9" s="11"/>
      <c r="B9" s="11"/>
      <c r="C9" s="11"/>
      <c r="D9" s="3"/>
      <c r="E9" s="3"/>
      <c r="F9" s="21">
        <f t="shared" si="1"/>
        <v>0</v>
      </c>
      <c r="G9" s="21" t="b">
        <f t="shared" si="2"/>
        <v>0</v>
      </c>
      <c r="H9" s="21">
        <f t="shared" si="3"/>
        <v>0</v>
      </c>
    </row>
    <row r="10" spans="1:8">
      <c r="A10" s="11"/>
      <c r="B10" s="11"/>
      <c r="C10" s="11"/>
      <c r="D10" s="3"/>
      <c r="E10" s="3"/>
      <c r="F10" s="21">
        <f t="shared" si="1"/>
        <v>0</v>
      </c>
      <c r="G10" s="21" t="b">
        <f t="shared" si="2"/>
        <v>0</v>
      </c>
      <c r="H10" s="21">
        <f t="shared" si="3"/>
        <v>0</v>
      </c>
    </row>
    <row r="11" spans="1:8">
      <c r="A11" s="11"/>
      <c r="B11" s="11"/>
      <c r="C11" s="11"/>
      <c r="D11" s="3"/>
      <c r="E11" s="3"/>
      <c r="F11" s="21">
        <f t="shared" si="1"/>
        <v>0</v>
      </c>
      <c r="G11" s="21" t="b">
        <f t="shared" si="2"/>
        <v>0</v>
      </c>
      <c r="H11" s="21">
        <f t="shared" si="3"/>
        <v>0</v>
      </c>
    </row>
    <row r="12" spans="1:8">
      <c r="A12" s="11"/>
      <c r="B12" s="11"/>
      <c r="C12" s="11"/>
      <c r="D12" s="3"/>
      <c r="E12" s="3"/>
      <c r="F12" s="21">
        <f t="shared" si="1"/>
        <v>0</v>
      </c>
      <c r="G12" s="21" t="b">
        <f t="shared" si="2"/>
        <v>0</v>
      </c>
      <c r="H12" s="21">
        <f t="shared" si="3"/>
        <v>0</v>
      </c>
    </row>
    <row r="13" spans="1:8">
      <c r="A13" s="11"/>
      <c r="B13" s="11"/>
      <c r="C13" s="11"/>
      <c r="D13" s="3"/>
      <c r="E13" s="3"/>
      <c r="F13" s="21">
        <f t="shared" si="1"/>
        <v>0</v>
      </c>
      <c r="G13" s="21" t="b">
        <f t="shared" si="2"/>
        <v>0</v>
      </c>
      <c r="H13" s="21">
        <f t="shared" si="3"/>
        <v>0</v>
      </c>
    </row>
    <row r="14" spans="1:8">
      <c r="A14" s="11"/>
      <c r="B14" s="11"/>
      <c r="C14" s="11"/>
      <c r="D14" s="3"/>
      <c r="E14" s="3"/>
      <c r="F14" s="21">
        <f t="shared" si="1"/>
        <v>0</v>
      </c>
      <c r="G14" s="21" t="b">
        <f t="shared" si="2"/>
        <v>0</v>
      </c>
      <c r="H14" s="21">
        <f t="shared" si="3"/>
        <v>0</v>
      </c>
    </row>
    <row r="15" spans="1:8">
      <c r="A15" s="11"/>
      <c r="B15" s="11"/>
      <c r="C15" s="11"/>
      <c r="D15" s="3"/>
      <c r="E15" s="3"/>
      <c r="F15" s="21">
        <f t="shared" si="1"/>
        <v>0</v>
      </c>
      <c r="G15" s="21" t="b">
        <f t="shared" si="2"/>
        <v>0</v>
      </c>
      <c r="H15" s="21">
        <f t="shared" si="3"/>
        <v>0</v>
      </c>
    </row>
    <row r="16" spans="1:8">
      <c r="A16" s="11"/>
      <c r="B16" s="11"/>
      <c r="C16" s="11"/>
      <c r="D16" s="3"/>
      <c r="E16" s="3"/>
      <c r="F16" s="21">
        <f t="shared" si="1"/>
        <v>0</v>
      </c>
      <c r="G16" s="21" t="b">
        <f t="shared" si="2"/>
        <v>0</v>
      </c>
      <c r="H16" s="21">
        <f t="shared" si="3"/>
        <v>0</v>
      </c>
    </row>
    <row r="17" spans="1:8">
      <c r="A17" s="11"/>
      <c r="B17" s="11"/>
      <c r="C17" s="11"/>
      <c r="D17" s="3"/>
      <c r="E17" s="3"/>
      <c r="F17" s="21">
        <f t="shared" si="1"/>
        <v>0</v>
      </c>
      <c r="G17" s="21" t="b">
        <f t="shared" si="2"/>
        <v>0</v>
      </c>
      <c r="H17" s="21">
        <f t="shared" si="3"/>
        <v>0</v>
      </c>
    </row>
    <row r="18" spans="1:8">
      <c r="A18" s="11"/>
      <c r="B18" s="11"/>
      <c r="C18" s="11"/>
      <c r="D18" s="3"/>
      <c r="E18" s="3"/>
      <c r="F18" s="21">
        <f t="shared" si="1"/>
        <v>0</v>
      </c>
      <c r="G18" s="21" t="b">
        <f t="shared" si="2"/>
        <v>0</v>
      </c>
      <c r="H18" s="21">
        <f t="shared" si="3"/>
        <v>0</v>
      </c>
    </row>
    <row r="19" spans="1:8">
      <c r="A19" s="11"/>
      <c r="B19" s="11"/>
      <c r="C19" s="11"/>
      <c r="D19" s="3"/>
      <c r="E19" s="3"/>
      <c r="F19" s="21">
        <f t="shared" si="1"/>
        <v>0</v>
      </c>
      <c r="G19" s="21" t="b">
        <f t="shared" si="2"/>
        <v>0</v>
      </c>
      <c r="H19" s="21">
        <f t="shared" si="3"/>
        <v>0</v>
      </c>
    </row>
    <row r="20" spans="1:8" s="17" customFormat="1"/>
    <row r="21" spans="1:8" s="18" customFormat="1">
      <c r="A21" s="18" t="s">
        <v>12</v>
      </c>
    </row>
    <row r="22" spans="1:8" s="18" customFormat="1">
      <c r="A22" s="18" t="s">
        <v>13</v>
      </c>
    </row>
    <row r="23" spans="1:8" s="18" customFormat="1">
      <c r="A23" s="18" t="s">
        <v>20</v>
      </c>
    </row>
    <row r="24" spans="1:8" s="18" customFormat="1">
      <c r="A24" s="18" t="s">
        <v>21</v>
      </c>
    </row>
    <row r="25" spans="1:8" s="17" customFormat="1">
      <c r="A25" s="18" t="s">
        <v>22</v>
      </c>
    </row>
    <row r="26" spans="1:8" s="17" customFormat="1">
      <c r="A26" s="18" t="s">
        <v>23</v>
      </c>
    </row>
    <row r="27" spans="1:8">
      <c r="A27" s="14"/>
    </row>
    <row r="28" spans="1:8" ht="37">
      <c r="A28" s="24" t="s">
        <v>24</v>
      </c>
      <c r="B28" s="24"/>
      <c r="C28" s="24"/>
      <c r="D28" s="24"/>
      <c r="E28" s="24"/>
      <c r="F28" s="24"/>
      <c r="G28" s="24"/>
      <c r="H28" s="24"/>
    </row>
    <row r="29" spans="1:8" ht="18">
      <c r="A29" s="26">
        <v>45991</v>
      </c>
      <c r="B29" s="27"/>
      <c r="C29" s="19" t="str">
        <f>CHOOSE(WEEKDAY($A$29,1),"일요일","월요일","화요일","수요일","목요일","금요일","토요일")</f>
        <v>일요일</v>
      </c>
    </row>
    <row r="30" spans="1:8" ht="16.5" customHeight="1">
      <c r="A30" s="25" t="s">
        <v>16</v>
      </c>
      <c r="B30" s="25" t="s">
        <v>2</v>
      </c>
      <c r="C30" s="25" t="s">
        <v>6</v>
      </c>
      <c r="D30" s="25" t="s">
        <v>15</v>
      </c>
      <c r="E30" s="25"/>
      <c r="F30" s="25"/>
      <c r="G30" s="25"/>
      <c r="H30" s="25"/>
    </row>
    <row r="31" spans="1:8" ht="36">
      <c r="A31" s="25"/>
      <c r="B31" s="25"/>
      <c r="C31" s="25"/>
      <c r="D31" s="12" t="s">
        <v>19</v>
      </c>
      <c r="E31" s="12" t="s">
        <v>1</v>
      </c>
      <c r="F31" s="13" t="s">
        <v>14</v>
      </c>
      <c r="G31" s="13" t="s">
        <v>18</v>
      </c>
      <c r="H31" s="13" t="s">
        <v>17</v>
      </c>
    </row>
    <row r="32" spans="1:8">
      <c r="A32" s="22" cm="1">
        <f t="array" ref="A32:A34">_xlfn.SEQUENCE(COUNTA(B32:B46))</f>
        <v>1</v>
      </c>
      <c r="B32" s="2" t="s">
        <v>34</v>
      </c>
      <c r="C32" s="2" t="s">
        <v>35</v>
      </c>
      <c r="D32" s="3">
        <v>0.5</v>
      </c>
      <c r="E32" s="3">
        <v>0.75</v>
      </c>
      <c r="F32" s="21">
        <f>(E32-D32)*24</f>
        <v>6</v>
      </c>
      <c r="G32" s="21" t="b">
        <f t="shared" ref="G32" si="4">AND(D32&lt;=TIME(12,0,0),E32&gt;=TIME(13,0,0))</f>
        <v>1</v>
      </c>
      <c r="H32" s="21">
        <f>(E32-D32)*24-IF(AND(D32&lt;=TIME(12,0,0),E32&gt;=TIME(13,0,0)),1,0)</f>
        <v>5</v>
      </c>
    </row>
    <row r="33" spans="1:8">
      <c r="A33" s="2">
        <v>2</v>
      </c>
      <c r="B33" s="2" t="s">
        <v>36</v>
      </c>
      <c r="C33" s="2" t="s">
        <v>35</v>
      </c>
      <c r="D33" s="3"/>
      <c r="E33" s="3"/>
      <c r="F33" s="21">
        <f t="shared" ref="F33:F46" si="5">(E33-D33)*24</f>
        <v>0</v>
      </c>
      <c r="G33" s="21" t="b">
        <f t="shared" ref="G33:G46" si="6">AND(D33&lt;=TIME(12,0,0),E33&gt;=TIME(13,0,0))</f>
        <v>0</v>
      </c>
      <c r="H33" s="21">
        <f t="shared" ref="H33:H46" si="7">(E33-D33)*24-IF(AND(D33&lt;=TIME(12,0,0),E33&gt;=TIME(13,0,0)),1,0)</f>
        <v>0</v>
      </c>
    </row>
    <row r="34" spans="1:8">
      <c r="A34" s="2">
        <v>3</v>
      </c>
      <c r="B34" s="2" t="s">
        <v>37</v>
      </c>
      <c r="C34" s="2" t="s">
        <v>35</v>
      </c>
      <c r="D34" s="3"/>
      <c r="E34" s="3"/>
      <c r="F34" s="21">
        <f t="shared" si="5"/>
        <v>0</v>
      </c>
      <c r="G34" s="21" t="b">
        <f t="shared" si="6"/>
        <v>0</v>
      </c>
      <c r="H34" s="21">
        <f>(E34-D34)*24</f>
        <v>0</v>
      </c>
    </row>
    <row r="35" spans="1:8">
      <c r="A35" s="2"/>
      <c r="B35" s="2"/>
      <c r="C35" s="2"/>
      <c r="D35" s="3"/>
      <c r="E35" s="3"/>
      <c r="F35" s="21">
        <f t="shared" si="5"/>
        <v>0</v>
      </c>
      <c r="G35" s="21" t="b">
        <f t="shared" si="6"/>
        <v>0</v>
      </c>
      <c r="H35" s="21">
        <f>(E35-D35)*24</f>
        <v>0</v>
      </c>
    </row>
    <row r="36" spans="1:8">
      <c r="A36" s="2"/>
      <c r="B36" s="2"/>
      <c r="C36" s="2"/>
      <c r="D36" s="3"/>
      <c r="E36" s="3"/>
      <c r="F36" s="21">
        <f t="shared" si="5"/>
        <v>0</v>
      </c>
      <c r="G36" s="21" t="b">
        <f t="shared" si="6"/>
        <v>0</v>
      </c>
      <c r="H36" s="21">
        <f t="shared" si="7"/>
        <v>0</v>
      </c>
    </row>
    <row r="37" spans="1:8">
      <c r="A37" s="2"/>
      <c r="B37" s="2"/>
      <c r="C37" s="2"/>
      <c r="D37" s="3"/>
      <c r="E37" s="3"/>
      <c r="F37" s="21">
        <f t="shared" si="5"/>
        <v>0</v>
      </c>
      <c r="G37" s="21" t="b">
        <f t="shared" si="6"/>
        <v>0</v>
      </c>
      <c r="H37" s="21">
        <f t="shared" si="7"/>
        <v>0</v>
      </c>
    </row>
    <row r="38" spans="1:8">
      <c r="A38" s="2"/>
      <c r="B38" s="2"/>
      <c r="C38" s="2"/>
      <c r="D38" s="3"/>
      <c r="E38" s="3"/>
      <c r="F38" s="21">
        <f t="shared" si="5"/>
        <v>0</v>
      </c>
      <c r="G38" s="21" t="b">
        <f t="shared" si="6"/>
        <v>0</v>
      </c>
      <c r="H38" s="21">
        <f t="shared" si="7"/>
        <v>0</v>
      </c>
    </row>
    <row r="39" spans="1:8">
      <c r="A39" s="2"/>
      <c r="B39" s="2"/>
      <c r="C39" s="2"/>
      <c r="D39" s="3"/>
      <c r="E39" s="3"/>
      <c r="F39" s="21">
        <f t="shared" si="5"/>
        <v>0</v>
      </c>
      <c r="G39" s="21" t="b">
        <f t="shared" si="6"/>
        <v>0</v>
      </c>
      <c r="H39" s="21">
        <f t="shared" si="7"/>
        <v>0</v>
      </c>
    </row>
    <row r="40" spans="1:8">
      <c r="A40" s="2"/>
      <c r="B40" s="2"/>
      <c r="C40" s="2"/>
      <c r="D40" s="3"/>
      <c r="E40" s="3"/>
      <c r="F40" s="21">
        <f t="shared" si="5"/>
        <v>0</v>
      </c>
      <c r="G40" s="21" t="b">
        <f t="shared" si="6"/>
        <v>0</v>
      </c>
      <c r="H40" s="21">
        <f t="shared" si="7"/>
        <v>0</v>
      </c>
    </row>
    <row r="41" spans="1:8">
      <c r="A41" s="2"/>
      <c r="B41" s="2"/>
      <c r="C41" s="2"/>
      <c r="D41" s="3"/>
      <c r="E41" s="3"/>
      <c r="F41" s="21">
        <f t="shared" si="5"/>
        <v>0</v>
      </c>
      <c r="G41" s="21" t="b">
        <f t="shared" si="6"/>
        <v>0</v>
      </c>
      <c r="H41" s="21">
        <f t="shared" si="7"/>
        <v>0</v>
      </c>
    </row>
    <row r="42" spans="1:8">
      <c r="A42" s="15"/>
      <c r="B42" s="15"/>
      <c r="C42" s="15"/>
      <c r="D42" s="16"/>
      <c r="E42" s="16"/>
      <c r="F42" s="23">
        <f t="shared" si="5"/>
        <v>0</v>
      </c>
      <c r="G42" s="23" t="b">
        <f t="shared" si="6"/>
        <v>0</v>
      </c>
      <c r="H42" s="23">
        <f t="shared" si="7"/>
        <v>0</v>
      </c>
    </row>
    <row r="43" spans="1:8">
      <c r="A43" s="2"/>
      <c r="B43" s="2"/>
      <c r="C43" s="2"/>
      <c r="D43" s="3"/>
      <c r="E43" s="3"/>
      <c r="F43" s="21">
        <f t="shared" si="5"/>
        <v>0</v>
      </c>
      <c r="G43" s="21" t="b">
        <f t="shared" si="6"/>
        <v>0</v>
      </c>
      <c r="H43" s="21">
        <f t="shared" si="7"/>
        <v>0</v>
      </c>
    </row>
    <row r="44" spans="1:8">
      <c r="A44" s="2"/>
      <c r="B44" s="2"/>
      <c r="C44" s="2"/>
      <c r="D44" s="3"/>
      <c r="E44" s="3"/>
      <c r="F44" s="21">
        <f t="shared" si="5"/>
        <v>0</v>
      </c>
      <c r="G44" s="21" t="b">
        <f t="shared" si="6"/>
        <v>0</v>
      </c>
      <c r="H44" s="21">
        <f t="shared" si="7"/>
        <v>0</v>
      </c>
    </row>
    <row r="45" spans="1:8">
      <c r="A45" s="2"/>
      <c r="B45" s="2"/>
      <c r="C45" s="2"/>
      <c r="D45" s="3"/>
      <c r="E45" s="3"/>
      <c r="F45" s="21">
        <f t="shared" si="5"/>
        <v>0</v>
      </c>
      <c r="G45" s="21" t="b">
        <f t="shared" si="6"/>
        <v>0</v>
      </c>
      <c r="H45" s="21">
        <f t="shared" si="7"/>
        <v>0</v>
      </c>
    </row>
    <row r="46" spans="1:8">
      <c r="A46" s="2"/>
      <c r="B46" s="2"/>
      <c r="C46" s="2"/>
      <c r="D46" s="3"/>
      <c r="E46" s="3"/>
      <c r="F46" s="21">
        <f t="shared" si="5"/>
        <v>0</v>
      </c>
      <c r="G46" s="21" t="b">
        <f t="shared" si="6"/>
        <v>0</v>
      </c>
      <c r="H46" s="21">
        <f t="shared" si="7"/>
        <v>0</v>
      </c>
    </row>
    <row r="47" spans="1:8" s="17" customFormat="1"/>
    <row r="48" spans="1:8" s="17" customFormat="1">
      <c r="A48" s="18" t="s">
        <v>12</v>
      </c>
      <c r="B48" s="18"/>
      <c r="C48" s="18"/>
      <c r="D48" s="18"/>
      <c r="E48" s="18"/>
      <c r="F48" s="18"/>
      <c r="G48" s="18"/>
      <c r="H48" s="18"/>
    </row>
    <row r="49" spans="1:8" s="17" customFormat="1">
      <c r="A49" s="18" t="s">
        <v>13</v>
      </c>
      <c r="B49" s="18"/>
      <c r="C49" s="18"/>
      <c r="D49" s="18"/>
      <c r="E49" s="18"/>
      <c r="F49" s="18"/>
      <c r="G49" s="18"/>
      <c r="H49" s="18"/>
    </row>
    <row r="50" spans="1:8" s="17" customFormat="1">
      <c r="A50" s="18" t="s">
        <v>20</v>
      </c>
      <c r="B50" s="18"/>
      <c r="C50" s="18"/>
      <c r="D50" s="18"/>
      <c r="E50" s="18"/>
      <c r="F50" s="18"/>
      <c r="G50" s="18"/>
      <c r="H50" s="18"/>
    </row>
    <row r="51" spans="1:8" s="17" customFormat="1">
      <c r="A51" s="18" t="s">
        <v>21</v>
      </c>
      <c r="B51" s="18"/>
      <c r="C51" s="18"/>
      <c r="D51" s="18"/>
      <c r="E51" s="18"/>
      <c r="F51" s="18"/>
      <c r="G51" s="18"/>
      <c r="H51" s="18"/>
    </row>
    <row r="52" spans="1:8" s="17" customFormat="1">
      <c r="A52" s="18" t="s">
        <v>22</v>
      </c>
      <c r="B52" s="18"/>
      <c r="C52" s="18"/>
      <c r="D52" s="18"/>
      <c r="E52" s="18"/>
      <c r="F52" s="18"/>
      <c r="G52" s="18"/>
      <c r="H52" s="18"/>
    </row>
    <row r="53" spans="1:8" s="17" customFormat="1">
      <c r="A53" s="18" t="s">
        <v>23</v>
      </c>
      <c r="B53" s="18"/>
      <c r="C53" s="18"/>
      <c r="D53" s="18"/>
      <c r="E53" s="18"/>
      <c r="F53" s="18"/>
      <c r="G53" s="18"/>
      <c r="H53" s="18"/>
    </row>
    <row r="54" spans="1:8" s="14" customFormat="1">
      <c r="A54" s="1"/>
      <c r="B54" s="1"/>
      <c r="C54" s="1"/>
      <c r="D54" s="1"/>
      <c r="E54" s="1"/>
      <c r="F54" s="1"/>
      <c r="G54" s="1"/>
      <c r="H54" s="1"/>
    </row>
  </sheetData>
  <sheetProtection algorithmName="SHA-512" hashValue="sY7J6JngxHRLDxx2yTDHL840BtSsiKeZMvtYJOEZnnocNDlbFqZLQKCiaJBT9+IEgv+D1o7L6MinRjwm0A2h3A==" saltValue="F/5zokBHFonL+sL7Tby49A==" spinCount="100000" sheet="1" objects="1" scenarios="1"/>
  <mergeCells count="12">
    <mergeCell ref="A1:H1"/>
    <mergeCell ref="A3:A4"/>
    <mergeCell ref="B3:B4"/>
    <mergeCell ref="C3:C4"/>
    <mergeCell ref="D3:H3"/>
    <mergeCell ref="A2:B2"/>
    <mergeCell ref="A28:H28"/>
    <mergeCell ref="C30:C31"/>
    <mergeCell ref="D30:H30"/>
    <mergeCell ref="A29:B29"/>
    <mergeCell ref="A30:A31"/>
    <mergeCell ref="B30:B3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연장근무-제출용</vt:lpstr>
      <vt:lpstr>연장근무작성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soleas06</cp:lastModifiedBy>
  <cp:lastPrinted>2026-03-03T01:06:31Z</cp:lastPrinted>
  <dcterms:created xsi:type="dcterms:W3CDTF">2025-06-04T01:41:27Z</dcterms:created>
  <dcterms:modified xsi:type="dcterms:W3CDTF">2026-03-09T00:46:18Z</dcterms:modified>
</cp:coreProperties>
</file>